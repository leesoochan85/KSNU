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정환덕\Documents\OCU\OCU 식생활과 건강(완료)\"/>
    </mc:Choice>
  </mc:AlternateContent>
  <xr:revisionPtr revIDLastSave="0" documentId="13_ncr:1_{71C6E034-6A22-4CC7-860D-F54DBEF004BF}" xr6:coauthVersionLast="47" xr6:coauthVersionMax="47" xr10:uidLastSave="{00000000-0000-0000-0000-000000000000}"/>
  <bookViews>
    <workbookView xWindow="-120" yWindow="-120" windowWidth="29040" windowHeight="15840" xr2:uid="{319351D3-E441-4919-94B0-06658530B902}"/>
  </bookViews>
  <sheets>
    <sheet name="중간고사" sheetId="1" r:id="rId1"/>
    <sheet name="기말고사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C47" i="1"/>
  <c r="C36" i="1"/>
  <c r="D36" i="1" s="1"/>
  <c r="E18" i="2"/>
  <c r="E6" i="2"/>
  <c r="C5" i="1"/>
</calcChain>
</file>

<file path=xl/sharedStrings.xml><?xml version="1.0" encoding="utf-8"?>
<sst xmlns="http://schemas.openxmlformats.org/spreadsheetml/2006/main" count="57" uniqueCount="53">
  <si>
    <t>체중(kg)</t>
    <phoneticPr fontId="2" type="noConversion"/>
  </si>
  <si>
    <r>
      <t>신장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</si>
  <si>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t>※ 비만도를 측정하는 BMI 계산값</t>
    <phoneticPr fontId="2" type="noConversion"/>
  </si>
  <si>
    <t>※ 1일 열량 권장량 기준 섭취량을 줄이면 한 달 동안 얼마나 덜 먹었는지 계산</t>
    <phoneticPr fontId="2" type="noConversion"/>
  </si>
  <si>
    <t>시간</t>
    <phoneticPr fontId="2" type="noConversion"/>
  </si>
  <si>
    <t>g</t>
    <phoneticPr fontId="2" type="noConversion"/>
  </si>
  <si>
    <t>체중(입력)</t>
    <phoneticPr fontId="2" type="noConversion"/>
  </si>
  <si>
    <t>시간(입력)</t>
    <phoneticPr fontId="2" type="noConversion"/>
  </si>
  <si>
    <t>알콜농도(입력)</t>
    <phoneticPr fontId="2" type="noConversion"/>
  </si>
  <si>
    <t>ml(입력)</t>
    <phoneticPr fontId="2" type="noConversion"/>
  </si>
  <si>
    <t>체중 1Kg당(고정)</t>
    <phoneticPr fontId="2" type="noConversion"/>
  </si>
  <si>
    <t>정답</t>
    <phoneticPr fontId="2" type="noConversion"/>
  </si>
  <si>
    <t>※ 시간 동안 분해할 수 있는 알코올의 양은 몇 g인가?</t>
    <phoneticPr fontId="2" type="noConversion"/>
  </si>
  <si>
    <t>※ 알코올을 분해할 수 있는 시간은?</t>
    <phoneticPr fontId="2" type="noConversion"/>
  </si>
  <si>
    <t>비만도 (정답)</t>
    <phoneticPr fontId="2" type="noConversion"/>
  </si>
  <si>
    <t>* 체중 X 시간 X 0.1  = 알코올 양 (g)</t>
    <phoneticPr fontId="2" type="noConversion"/>
  </si>
  <si>
    <t>총 알콜량(알콜농도 X 양) / 1시간동안 분해시킬 수 있는 알코올의 양 (체중 X 0.1)</t>
    <phoneticPr fontId="2" type="noConversion"/>
  </si>
  <si>
    <t>※ 표준체중에 의한 방법</t>
    <phoneticPr fontId="2" type="noConversion"/>
  </si>
  <si>
    <t>표준체중 (자동계산)</t>
    <phoneticPr fontId="2" type="noConversion"/>
  </si>
  <si>
    <t>13.3% 이상 비만</t>
    <phoneticPr fontId="2" type="noConversion"/>
  </si>
  <si>
    <t>표준체중 계산</t>
    <phoneticPr fontId="2" type="noConversion"/>
  </si>
  <si>
    <t>비만도(%)</t>
    <phoneticPr fontId="2" type="noConversion"/>
  </si>
  <si>
    <t>비만도 (%)</t>
    <phoneticPr fontId="2" type="noConversion"/>
  </si>
  <si>
    <t>숫자만 기입하세요.</t>
  </si>
  <si>
    <t>※ 브로카(Broca) 보정식 표준체중 구하기</t>
    <phoneticPr fontId="2" type="noConversion"/>
  </si>
  <si>
    <t>신장</t>
    <phoneticPr fontId="2" type="noConversion"/>
  </si>
  <si>
    <t>표준체중</t>
    <phoneticPr fontId="2" type="noConversion"/>
  </si>
  <si>
    <t>신장 Cm만 넣으면 구해짐</t>
    <phoneticPr fontId="2" type="noConversion"/>
  </si>
  <si>
    <t>표준체중(kg) = (신장(cm)-100) x 0.9</t>
    <phoneticPr fontId="2" type="noConversion"/>
  </si>
  <si>
    <r>
      <t>BMI = 체중(Kg) ÷신장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(m)</t>
    </r>
    <phoneticPr fontId="2" type="noConversion"/>
  </si>
  <si>
    <t>과체중(overweight)23~24.9</t>
    <phoneticPr fontId="2" type="noConversion"/>
  </si>
  <si>
    <t>정상(normal)</t>
    <phoneticPr fontId="2" type="noConversion"/>
  </si>
  <si>
    <t>18.5~22.9</t>
    <phoneticPr fontId="2" type="noConversion"/>
  </si>
  <si>
    <t>23~24.9</t>
    <phoneticPr fontId="2" type="noConversion"/>
  </si>
  <si>
    <t>≥25</t>
    <phoneticPr fontId="2" type="noConversion"/>
  </si>
  <si>
    <t>비만(obese)</t>
    <phoneticPr fontId="2" type="noConversion"/>
  </si>
  <si>
    <t>25~29.9</t>
    <phoneticPr fontId="2" type="noConversion"/>
  </si>
  <si>
    <t>1단계비만(심함)</t>
    <phoneticPr fontId="2" type="noConversion"/>
  </si>
  <si>
    <t>≥ 30</t>
    <phoneticPr fontId="2" type="noConversion"/>
  </si>
  <si>
    <t>2단계비만(관련질환위험매우심함)</t>
    <phoneticPr fontId="2" type="noConversion"/>
  </si>
  <si>
    <t>체중과 신장 m만 넣으면 구해짐</t>
    <phoneticPr fontId="2" type="noConversion"/>
  </si>
  <si>
    <t>신장m X 신장m X 22</t>
    <phoneticPr fontId="2" type="noConversion"/>
  </si>
  <si>
    <t>(체중 – 표준체중) / 표준체중 X 100</t>
    <phoneticPr fontId="2" type="noConversion"/>
  </si>
  <si>
    <r>
      <t xml:space="preserve">※ 1장에 나와 있는 BMI 계산법에 따른 비만마른편 : </t>
    </r>
    <r>
      <rPr>
        <sz val="12"/>
        <color theme="1"/>
        <rFont val="맑은 고딕"/>
        <family val="3"/>
        <charset val="129"/>
        <scheme val="minor"/>
      </rPr>
      <t>20미만, 정상 : 20~24, 비만 : 26.4</t>
    </r>
    <phoneticPr fontId="2" type="noConversion"/>
  </si>
  <si>
    <t>1일 권장량 (kcal)</t>
    <phoneticPr fontId="2" type="noConversion"/>
  </si>
  <si>
    <t>줄인 섭취량 (kcal)</t>
    <phoneticPr fontId="2" type="noConversion"/>
  </si>
  <si>
    <t>기간 (일)</t>
    <phoneticPr fontId="2" type="noConversion"/>
  </si>
  <si>
    <t>감량할 수 있는 체중 (kg)</t>
    <phoneticPr fontId="2" type="noConversion"/>
  </si>
  <si>
    <t>* 한 달 동안 얼마나 덜먹었는가?</t>
    <phoneticPr fontId="2" type="noConversion"/>
  </si>
  <si>
    <t xml:space="preserve">  500kcal ⅹ30일= 15,000kcal</t>
    <phoneticPr fontId="2" type="noConversion"/>
  </si>
  <si>
    <t>* 이 열량으로 체중 몇 kg을 감소시킬 수 있나?  (체지방 1g = 7.7kcal)</t>
    <phoneticPr fontId="2" type="noConversion"/>
  </si>
  <si>
    <t>1일 권장량과 줄인 섭취량 (kcal) 기입</t>
    <phoneticPr fontId="2" type="noConversion"/>
  </si>
  <si>
    <t xml:space="preserve">  15,000kcal ÷7.7kcal = 1984.05g = 1.948kg = 반올림 1.95kg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</si>
</sst>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"/>
    <numFmt numFmtId="177" formatCode="_-* #,##0.0_-;\-* #,##0.0_-;_-* &quot;-&quot;_-;_-@_-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9" fontId="6" fillId="0" borderId="0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9" fontId="9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41" fontId="9" fillId="2" borderId="1" xfId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77" fontId="7" fillId="0" borderId="1" xfId="1" applyNumberFormat="1" applyFont="1" applyBorder="1" applyAlignment="1">
      <alignment horizontal="center" vertical="center"/>
    </xf>
    <xf numFmtId="177" fontId="14" fillId="2" borderId="1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DC33-FD2B-44DB-95F7-3281C4C56FF9}">
  <dimension ref="A2:D48"/>
  <sheetViews>
    <sheetView tabSelected="1" workbookViewId="0">
      <selection activeCell="B15" sqref="B15"/>
    </sheetView>
  </sheetViews>
  <sheetFormatPr defaultRowHeight="16.5"/>
  <cols>
    <col min="1" max="3" width="20.375" customWidth="1"/>
    <col min="4" max="4" width="24.375" customWidth="1"/>
  </cols>
  <sheetData>
    <row r="2" spans="1:3" ht="20.25">
      <c r="A2" s="2" t="s">
        <v>2</v>
      </c>
    </row>
    <row r="3" spans="1:3">
      <c r="C3" s="26" t="s">
        <v>40</v>
      </c>
    </row>
    <row r="4" spans="1:3" s="1" customFormat="1" ht="19.5" customHeight="1">
      <c r="A4" s="4" t="s">
        <v>0</v>
      </c>
      <c r="B4" s="4" t="s">
        <v>1</v>
      </c>
      <c r="C4" s="4" t="s">
        <v>14</v>
      </c>
    </row>
    <row r="5" spans="1:3" s="1" customFormat="1" ht="19.5" customHeight="1">
      <c r="A5" s="17">
        <v>80</v>
      </c>
      <c r="B5" s="17">
        <v>1.7</v>
      </c>
      <c r="C5" s="31">
        <f>A5/(B5*B5)</f>
        <v>27.681660899653981</v>
      </c>
    </row>
    <row r="6" spans="1:3" s="1" customFormat="1"/>
    <row r="7" spans="1:3">
      <c r="A7" t="s">
        <v>29</v>
      </c>
    </row>
    <row r="9" spans="1:3">
      <c r="A9" s="23" t="s">
        <v>31</v>
      </c>
      <c r="B9" s="23" t="s">
        <v>32</v>
      </c>
    </row>
    <row r="10" spans="1:3" ht="16.5" customHeight="1">
      <c r="A10" s="23" t="s">
        <v>30</v>
      </c>
      <c r="B10" s="23" t="s">
        <v>33</v>
      </c>
    </row>
    <row r="11" spans="1:3">
      <c r="A11" s="25" t="s">
        <v>35</v>
      </c>
      <c r="B11" s="25" t="s">
        <v>34</v>
      </c>
    </row>
    <row r="12" spans="1:3">
      <c r="A12" s="24"/>
      <c r="B12" s="24" t="s">
        <v>36</v>
      </c>
      <c r="C12" t="s">
        <v>37</v>
      </c>
    </row>
    <row r="13" spans="1:3">
      <c r="A13" s="24"/>
      <c r="B13" s="24" t="s">
        <v>38</v>
      </c>
      <c r="C13" t="s">
        <v>39</v>
      </c>
    </row>
    <row r="15" spans="1:3" ht="17.25">
      <c r="A15" t="s">
        <v>43</v>
      </c>
    </row>
    <row r="19" spans="1:4" ht="20.25">
      <c r="A19" s="2" t="s">
        <v>3</v>
      </c>
    </row>
    <row r="20" spans="1:4">
      <c r="C20" s="26"/>
      <c r="D20" s="30" t="s">
        <v>51</v>
      </c>
    </row>
    <row r="21" spans="1:4" ht="19.5" customHeight="1">
      <c r="A21" s="20" t="s">
        <v>44</v>
      </c>
      <c r="B21" s="20" t="s">
        <v>45</v>
      </c>
      <c r="C21" s="20" t="s">
        <v>46</v>
      </c>
      <c r="D21" s="20" t="s">
        <v>47</v>
      </c>
    </row>
    <row r="22" spans="1:4" ht="19.5" customHeight="1">
      <c r="A22" s="28">
        <v>2100</v>
      </c>
      <c r="B22" s="28">
        <v>630</v>
      </c>
      <c r="C22" s="29">
        <v>30</v>
      </c>
      <c r="D22" s="32">
        <f>(B22*C22)/7.7/1000</f>
        <v>2.4545454545454546</v>
      </c>
    </row>
    <row r="23" spans="1:4" ht="20.25">
      <c r="A23" s="2"/>
    </row>
    <row r="24" spans="1:4">
      <c r="A24" s="3" t="s">
        <v>48</v>
      </c>
    </row>
    <row r="25" spans="1:4">
      <c r="A25" s="24" t="s">
        <v>49</v>
      </c>
      <c r="B25" s="24"/>
    </row>
    <row r="26" spans="1:4">
      <c r="A26" s="1"/>
    </row>
    <row r="27" spans="1:4">
      <c r="A27" s="3" t="s">
        <v>50</v>
      </c>
    </row>
    <row r="28" spans="1:4" s="1" customFormat="1">
      <c r="A28" s="24" t="s">
        <v>52</v>
      </c>
    </row>
    <row r="29" spans="1:4" s="1" customFormat="1">
      <c r="A29" s="24"/>
    </row>
    <row r="30" spans="1:4" s="1" customFormat="1">
      <c r="A30" s="24"/>
    </row>
    <row r="33" spans="1:4" ht="20.25">
      <c r="A33" s="2" t="s">
        <v>17</v>
      </c>
    </row>
    <row r="34" spans="1:4" ht="20.25">
      <c r="A34" s="27"/>
      <c r="D34" s="16" t="s">
        <v>19</v>
      </c>
    </row>
    <row r="35" spans="1:4" ht="19.5" customHeight="1">
      <c r="A35" s="9" t="s">
        <v>0</v>
      </c>
      <c r="B35" s="9" t="s">
        <v>1</v>
      </c>
      <c r="C35" s="9" t="s">
        <v>18</v>
      </c>
      <c r="D35" s="9" t="s">
        <v>22</v>
      </c>
    </row>
    <row r="36" spans="1:4" ht="19.5" customHeight="1">
      <c r="A36" s="17">
        <v>75</v>
      </c>
      <c r="B36" s="17">
        <v>1.7</v>
      </c>
      <c r="C36" s="19">
        <f>B36*B36*22</f>
        <v>63.579999999999991</v>
      </c>
      <c r="D36" s="15">
        <f>(A36-C36)/C36*100</f>
        <v>17.961623151934585</v>
      </c>
    </row>
    <row r="38" spans="1:4">
      <c r="A38" t="s">
        <v>20</v>
      </c>
      <c r="B38" s="24" t="s">
        <v>41</v>
      </c>
    </row>
    <row r="39" spans="1:4">
      <c r="A39" t="s">
        <v>21</v>
      </c>
      <c r="B39" t="s">
        <v>42</v>
      </c>
    </row>
    <row r="44" spans="1:4" ht="20.25">
      <c r="A44" s="2" t="s">
        <v>24</v>
      </c>
    </row>
    <row r="45" spans="1:4">
      <c r="A45" s="22"/>
      <c r="C45" s="26" t="s">
        <v>27</v>
      </c>
    </row>
    <row r="46" spans="1:4" ht="19.5" customHeight="1">
      <c r="A46" s="33" t="s">
        <v>25</v>
      </c>
      <c r="B46" s="34"/>
      <c r="C46" s="20" t="s">
        <v>26</v>
      </c>
    </row>
    <row r="47" spans="1:4" ht="19.5" customHeight="1">
      <c r="A47" s="35">
        <v>160</v>
      </c>
      <c r="B47" s="36"/>
      <c r="C47" s="8">
        <f>(A47-100)*0.9</f>
        <v>54</v>
      </c>
    </row>
    <row r="48" spans="1:4">
      <c r="A48" t="s">
        <v>28</v>
      </c>
    </row>
  </sheetData>
  <mergeCells count="2">
    <mergeCell ref="A46:B46"/>
    <mergeCell ref="A47:B47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CF2A3-F533-4719-A00F-2F4918D18EF9}">
  <dimension ref="B3:F20"/>
  <sheetViews>
    <sheetView workbookViewId="0">
      <selection activeCell="B18" sqref="B18"/>
    </sheetView>
  </sheetViews>
  <sheetFormatPr defaultRowHeight="16.5"/>
  <cols>
    <col min="2" max="5" width="16.5" customWidth="1"/>
  </cols>
  <sheetData>
    <row r="3" spans="2:6" ht="20.25">
      <c r="B3" s="2" t="s">
        <v>12</v>
      </c>
    </row>
    <row r="4" spans="2:6" ht="20.25">
      <c r="B4" s="2"/>
    </row>
    <row r="5" spans="2:6" s="1" customFormat="1" ht="21.75" customHeight="1">
      <c r="B5" s="5" t="s">
        <v>6</v>
      </c>
      <c r="C5" s="5" t="s">
        <v>7</v>
      </c>
      <c r="D5" s="5" t="s">
        <v>10</v>
      </c>
      <c r="E5" s="37" t="s">
        <v>11</v>
      </c>
      <c r="F5" s="37"/>
    </row>
    <row r="6" spans="2:6" s="1" customFormat="1" ht="24" customHeight="1">
      <c r="B6" s="17">
        <v>70</v>
      </c>
      <c r="C6" s="21">
        <v>24</v>
      </c>
      <c r="D6" s="5">
        <v>0.1</v>
      </c>
      <c r="E6" s="6">
        <f>B6*C6*D6</f>
        <v>168</v>
      </c>
      <c r="F6" s="7" t="s">
        <v>5</v>
      </c>
    </row>
    <row r="7" spans="2:6" s="13" customFormat="1">
      <c r="B7" s="10"/>
      <c r="C7" s="10"/>
      <c r="D7" s="11"/>
      <c r="E7" s="12"/>
      <c r="F7" s="12"/>
    </row>
    <row r="8" spans="2:6">
      <c r="B8" t="s">
        <v>15</v>
      </c>
    </row>
    <row r="15" spans="2:6" ht="20.25">
      <c r="B15" s="2" t="s">
        <v>13</v>
      </c>
    </row>
    <row r="16" spans="2:6" ht="20.25" customHeight="1">
      <c r="B16" s="38" t="s">
        <v>23</v>
      </c>
      <c r="C16" s="38"/>
      <c r="D16" s="38"/>
      <c r="E16" s="38"/>
      <c r="F16" s="38"/>
    </row>
    <row r="17" spans="2:6" s="1" customFormat="1" ht="21.75" customHeight="1">
      <c r="B17" s="5" t="s">
        <v>6</v>
      </c>
      <c r="C17" s="5" t="s">
        <v>8</v>
      </c>
      <c r="D17" s="5" t="s">
        <v>9</v>
      </c>
      <c r="E17" s="37" t="s">
        <v>11</v>
      </c>
      <c r="F17" s="37"/>
    </row>
    <row r="18" spans="2:6" s="1" customFormat="1" ht="24" customHeight="1">
      <c r="B18" s="17">
        <v>60</v>
      </c>
      <c r="C18" s="18">
        <v>0.15</v>
      </c>
      <c r="D18" s="17">
        <v>360</v>
      </c>
      <c r="E18" s="6">
        <f>(D18*C18)/(0.1*B18)</f>
        <v>9</v>
      </c>
      <c r="F18" s="7" t="s">
        <v>4</v>
      </c>
    </row>
    <row r="19" spans="2:6" s="13" customFormat="1">
      <c r="B19" s="10"/>
      <c r="C19" s="14"/>
      <c r="D19" s="10"/>
      <c r="E19" s="12"/>
      <c r="F19" s="12"/>
    </row>
    <row r="20" spans="2:6">
      <c r="B20" t="s">
        <v>16</v>
      </c>
    </row>
  </sheetData>
  <mergeCells count="3">
    <mergeCell ref="E5:F5"/>
    <mergeCell ref="E17:F17"/>
    <mergeCell ref="B16:F16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중간고사</vt:lpstr>
      <vt:lpstr>기말고사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정환덕</dc:creator>
  <cp:lastModifiedBy>정환덕</cp:lastModifiedBy>
  <dcterms:created xsi:type="dcterms:W3CDTF">2021-10-15T09:17:07Z</dcterms:created>
  <dcterms:modified xsi:type="dcterms:W3CDTF">2022-01-12T15:31:13Z</dcterms:modified>
</cp:coreProperties>
</file>